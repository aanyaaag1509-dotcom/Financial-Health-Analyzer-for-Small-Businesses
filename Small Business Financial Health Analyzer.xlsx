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nyaa\Documents\"/>
    </mc:Choice>
  </mc:AlternateContent>
  <xr:revisionPtr revIDLastSave="0" documentId="8_{0F29C8B9-2293-4112-B579-D97325404385}" xr6:coauthVersionLast="47" xr6:coauthVersionMax="47" xr10:uidLastSave="{00000000-0000-0000-0000-000000000000}"/>
  <bookViews>
    <workbookView xWindow="-120" yWindow="-120" windowWidth="20730" windowHeight="11160" firstSheet="1" activeTab="4" xr2:uid="{FE88FA5F-92B1-4B8C-8FF8-B0ED6162CEBC}"/>
  </bookViews>
  <sheets>
    <sheet name="Trial Balance" sheetId="1" r:id="rId1"/>
    <sheet name="Trading and Profit and Loss " sheetId="2" r:id="rId2"/>
    <sheet name="Balance Sheet" sheetId="3" r:id="rId3"/>
    <sheet name="Ratio Analysis" sheetId="4" r:id="rId4"/>
    <sheet name="Dashboard" sheetId="5" r:id="rId5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3" i="5" l="1"/>
  <c r="N5" i="5"/>
  <c r="J5" i="5"/>
  <c r="F5" i="5"/>
  <c r="B5" i="5"/>
  <c r="E18" i="3"/>
  <c r="H18" i="3"/>
  <c r="E23" i="1"/>
  <c r="D23" i="1"/>
  <c r="H24" i="2"/>
  <c r="E24" i="2"/>
  <c r="H13" i="2"/>
  <c r="E13" i="2"/>
</calcChain>
</file>

<file path=xl/sharedStrings.xml><?xml version="1.0" encoding="utf-8"?>
<sst xmlns="http://schemas.openxmlformats.org/spreadsheetml/2006/main" count="166" uniqueCount="131">
  <si>
    <t>Account Name</t>
  </si>
  <si>
    <t xml:space="preserve">L.F. </t>
  </si>
  <si>
    <t>Debit Amount</t>
  </si>
  <si>
    <t>Credit Amount</t>
  </si>
  <si>
    <t>Stock</t>
  </si>
  <si>
    <t>Purchases</t>
  </si>
  <si>
    <t>Sales</t>
  </si>
  <si>
    <t>Salary</t>
  </si>
  <si>
    <t>Sundry Debtors</t>
  </si>
  <si>
    <t>Sundry Creditors</t>
  </si>
  <si>
    <t>Capital</t>
  </si>
  <si>
    <t>Drawings</t>
  </si>
  <si>
    <t>Return Inwards</t>
  </si>
  <si>
    <t>Return Outwards</t>
  </si>
  <si>
    <t>Cash in Hand</t>
  </si>
  <si>
    <t>Bank Overdraft</t>
  </si>
  <si>
    <t>Investment</t>
  </si>
  <si>
    <t>Interest on Investment</t>
  </si>
  <si>
    <t>Debit Amt</t>
  </si>
  <si>
    <t>Credit Amt</t>
  </si>
  <si>
    <t>To Stock A/c</t>
  </si>
  <si>
    <t>By Closing Stock A/c</t>
  </si>
  <si>
    <t>Closing Stock is 1,80,000.</t>
  </si>
  <si>
    <t>To Gross Profit A/c</t>
  </si>
  <si>
    <t>By Gross Profit</t>
  </si>
  <si>
    <t>To Salary A/c</t>
  </si>
  <si>
    <t>By Interest on Investment A/c</t>
  </si>
  <si>
    <t>To Net Profit A/c</t>
  </si>
  <si>
    <t>Particulars</t>
  </si>
  <si>
    <t>Liabilities</t>
  </si>
  <si>
    <t>Amount</t>
  </si>
  <si>
    <t>Assets</t>
  </si>
  <si>
    <t>Bank Loan</t>
  </si>
  <si>
    <t>Fixed Assets</t>
  </si>
  <si>
    <t>Inventory</t>
  </si>
  <si>
    <t>Accounts Payables</t>
  </si>
  <si>
    <t>Accounts Payable</t>
  </si>
  <si>
    <t>To Purchases A/c                       2,50,000</t>
  </si>
  <si>
    <t>By Sales A/c                                     3,00,000</t>
  </si>
  <si>
    <t>Capital                                             5,00,000</t>
  </si>
  <si>
    <t xml:space="preserve">      Less: Drawings                       (25,000)</t>
  </si>
  <si>
    <t>Bank OverDraft</t>
  </si>
  <si>
    <t>Closing Stock</t>
  </si>
  <si>
    <t>Ratio</t>
  </si>
  <si>
    <t>Value</t>
  </si>
  <si>
    <t>Benchmark</t>
  </si>
  <si>
    <t>Status</t>
  </si>
  <si>
    <t>Current Ratio</t>
  </si>
  <si>
    <t>&gt;2</t>
  </si>
  <si>
    <t>Quick Ratio</t>
  </si>
  <si>
    <t>&gt;1</t>
  </si>
  <si>
    <t>Net Profit Margin</t>
  </si>
  <si>
    <t>&gt;15%</t>
  </si>
  <si>
    <t>Debt Ratio</t>
  </si>
  <si>
    <t>Debt Equity Ratio</t>
  </si>
  <si>
    <t>Inventory Turnover</t>
  </si>
  <si>
    <t>&lt;2</t>
  </si>
  <si>
    <t>Return on Investment</t>
  </si>
  <si>
    <t>Excellent</t>
  </si>
  <si>
    <t>Poor</t>
  </si>
  <si>
    <t>Good</t>
  </si>
  <si>
    <t>&gt;20%</t>
  </si>
  <si>
    <t>&gt;5</t>
  </si>
  <si>
    <t>HEALTH SCORE TABLE</t>
  </si>
  <si>
    <t>Category</t>
  </si>
  <si>
    <t>Score Awarded</t>
  </si>
  <si>
    <t>Liquidity</t>
  </si>
  <si>
    <t>Efficiency</t>
  </si>
  <si>
    <t>Solvency</t>
  </si>
  <si>
    <t>Total Score</t>
  </si>
  <si>
    <t xml:space="preserve"> </t>
  </si>
  <si>
    <t>NET SALES</t>
  </si>
  <si>
    <t>NET PROFIT</t>
  </si>
  <si>
    <t>CURRENT RATIO</t>
  </si>
  <si>
    <t>HEALTH SCORE</t>
  </si>
  <si>
    <t>RATIO CHART</t>
  </si>
  <si>
    <t>Score</t>
  </si>
  <si>
    <t>Profitability</t>
  </si>
  <si>
    <t>15/25</t>
  </si>
  <si>
    <t>23/25</t>
  </si>
  <si>
    <t>10/25</t>
  </si>
  <si>
    <t>71/100</t>
  </si>
  <si>
    <t>FINANCIAL HEALTH : GOOD</t>
  </si>
  <si>
    <t>STRENGTHS :</t>
  </si>
  <si>
    <t>WEAKNESS :</t>
  </si>
  <si>
    <t>⚠ Inefficient Inventory Management</t>
  </si>
  <si>
    <r>
      <t xml:space="preserve">                        </t>
    </r>
    <r>
      <rPr>
        <b/>
        <sz val="16"/>
        <color theme="0"/>
        <rFont val="Calibri"/>
        <family val="2"/>
        <scheme val="minor"/>
      </rPr>
      <t>TRIAL BALANCE AS ON 31st MARCH, 2026</t>
    </r>
  </si>
  <si>
    <r>
      <t xml:space="preserve">                                                  </t>
    </r>
    <r>
      <rPr>
        <b/>
        <sz val="16"/>
        <color theme="0"/>
        <rFont val="Calibri"/>
        <family val="2"/>
        <scheme val="minor"/>
      </rPr>
      <t>TRADING AND PROFIT AND LOSS ACCOUNT AS ON 31st MARCH, 2026</t>
    </r>
  </si>
  <si>
    <t xml:space="preserve">Key Findings: </t>
  </si>
  <si>
    <t>• Gross Profit = 55,000</t>
  </si>
  <si>
    <t>• Net Profit = 60,000</t>
  </si>
  <si>
    <t>• Additional income from investment = 20,000</t>
  </si>
  <si>
    <r>
      <t xml:space="preserve">                                                           </t>
    </r>
    <r>
      <rPr>
        <b/>
        <sz val="16"/>
        <color theme="0"/>
        <rFont val="Calibri"/>
        <family val="2"/>
        <scheme val="minor"/>
      </rPr>
      <t xml:space="preserve">                 BALANCE SHEET AS ON 31st MARCH, 2026</t>
    </r>
  </si>
  <si>
    <r>
      <t xml:space="preserve">      Add: Net Profit                        </t>
    </r>
    <r>
      <rPr>
        <u/>
        <sz val="11"/>
        <color theme="1"/>
        <rFont val="Calibri"/>
        <family val="2"/>
        <scheme val="minor"/>
      </rPr>
      <t>60,000</t>
    </r>
  </si>
  <si>
    <r>
      <t xml:space="preserve">     Less: Return Outwards       </t>
    </r>
    <r>
      <rPr>
        <u/>
        <sz val="11"/>
        <color theme="1"/>
        <rFont val="Calibri"/>
        <family val="2"/>
        <scheme val="minor"/>
      </rPr>
      <t>(45000)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</si>
  <si>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    Less: Return Inwards               </t>
    </r>
    <r>
      <rPr>
        <u/>
        <sz val="11"/>
        <color theme="1"/>
        <rFont val="Calibri"/>
        <family val="2"/>
        <scheme val="minor"/>
      </rPr>
      <t xml:space="preserve"> (20000)</t>
    </r>
  </si>
  <si>
    <t>Cash</t>
  </si>
  <si>
    <t xml:space="preserve">Current Assets: </t>
  </si>
  <si>
    <t xml:space="preserve">Non Current Assets: </t>
  </si>
  <si>
    <t>Equity:</t>
  </si>
  <si>
    <t>Current Liabilities:</t>
  </si>
  <si>
    <t xml:space="preserve">Long-term Liabilities: </t>
  </si>
  <si>
    <t>Interpretation</t>
  </si>
  <si>
    <t>Key Findings:</t>
  </si>
  <si>
    <t xml:space="preserve">                                     HEALTH SCORE ANALYSER</t>
  </si>
  <si>
    <r>
      <t xml:space="preserve">                                                            </t>
    </r>
    <r>
      <rPr>
        <b/>
        <sz val="16"/>
        <color theme="0"/>
        <rFont val="Calibri"/>
        <family val="2"/>
        <scheme val="minor"/>
      </rPr>
      <t xml:space="preserve">       RATIO ANALYSIS</t>
    </r>
  </si>
  <si>
    <t>Adequate short-term liquidity</t>
  </si>
  <si>
    <t>Weak immediate liquidity</t>
  </si>
  <si>
    <t>Strong profitability</t>
  </si>
  <si>
    <t>Slow stock movement</t>
  </si>
  <si>
    <t xml:space="preserve">FINANCIAL HEALTH SCORE : </t>
  </si>
  <si>
    <t>GOOD</t>
  </si>
  <si>
    <t>✓  High Profitability with NPM of 21.43%</t>
  </si>
  <si>
    <t>✓  Healthy debt position with D/E ratio of 0.77</t>
  </si>
  <si>
    <t>✓ Adequate current ratio for short-term obligations</t>
  </si>
  <si>
    <t>⚠ Quick ratio below recommended benchmark</t>
  </si>
  <si>
    <t>• Business maintains a healthy profitability position.</t>
  </si>
  <si>
    <t>• Debt levels remain manageable.</t>
  </si>
  <si>
    <t>• Immediate liquidity requires improvement.</t>
  </si>
  <si>
    <t>• Inventory management can be optimized.</t>
  </si>
  <si>
    <t>TRADING ACCOUNT</t>
  </si>
  <si>
    <t>PROFIT AND LOSS ACCOUNT</t>
  </si>
  <si>
    <t>BUSINESS PROFILE</t>
  </si>
  <si>
    <t>Business : Agrawal Traders</t>
  </si>
  <si>
    <t>Industry : Retail</t>
  </si>
  <si>
    <t xml:space="preserve">Period : FY 2025-2026 </t>
  </si>
  <si>
    <t>Prepared By : Aanyaa Agrawal</t>
  </si>
  <si>
    <t>Moderate debt risk.</t>
  </si>
  <si>
    <t>Healthy capital structure.</t>
  </si>
  <si>
    <t>Satisfactory investment returns.</t>
  </si>
  <si>
    <t>SMALL BUSINESS FINANCIAL HEALTH ANALYZER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</si>
</sst>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3B3B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33CC33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7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6" xfId="0" applyBorder="1"/>
    <xf numFmtId="3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19" xfId="0" applyBorder="1" applyAlignment="1">
      <alignment horizontal="center"/>
    </xf>
    <xf numFmtId="0" fontId="5" fillId="0" borderId="0" xfId="0" applyFont="1"/>
    <xf numFmtId="0" fontId="0" fillId="0" borderId="4" xfId="0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1" fillId="0" borderId="0" xfId="0" applyFont="1"/>
    <xf numFmtId="0" fontId="0" fillId="3" borderId="0" xfId="0" applyFill="1"/>
    <xf numFmtId="0" fontId="0" fillId="0" borderId="26" xfId="0" applyBorder="1" applyAlignment="1">
      <alignment horizontal="center"/>
    </xf>
    <xf numFmtId="10" fontId="0" fillId="0" borderId="26" xfId="0" applyNumberForma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0" fontId="0" fillId="0" borderId="27" xfId="0" applyNumberFormat="1" applyBorder="1" applyAlignment="1">
      <alignment horizontal="center"/>
    </xf>
    <xf numFmtId="0" fontId="0" fillId="0" borderId="26" xfId="0" applyBorder="1"/>
    <xf numFmtId="0" fontId="0" fillId="3" borderId="0" xfId="0" applyFill="1" applyAlignment="1">
      <alignment horizontal="center"/>
    </xf>
    <xf numFmtId="164" fontId="0" fillId="3" borderId="0" xfId="0" applyNumberFormat="1" applyFill="1"/>
    <xf numFmtId="0" fontId="7" fillId="0" borderId="0" xfId="0" applyFont="1"/>
    <xf numFmtId="0" fontId="5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0" fillId="0" borderId="32" xfId="0" applyBorder="1" applyAlignment="1">
      <alignment horizontal="center"/>
    </xf>
    <xf numFmtId="3" fontId="0" fillId="0" borderId="32" xfId="0" applyNumberFormat="1" applyBorder="1" applyAlignment="1">
      <alignment horizontal="center"/>
    </xf>
    <xf numFmtId="0" fontId="0" fillId="0" borderId="34" xfId="0" applyBorder="1"/>
    <xf numFmtId="0" fontId="5" fillId="0" borderId="12" xfId="0" applyFont="1" applyBorder="1" applyAlignment="1">
      <alignment horizontal="center"/>
    </xf>
    <xf numFmtId="0" fontId="5" fillId="0" borderId="35" xfId="0" applyFont="1" applyBorder="1" applyAlignment="1">
      <alignment horizontal="center"/>
    </xf>
    <xf numFmtId="3" fontId="0" fillId="0" borderId="26" xfId="0" applyNumberFormat="1" applyBorder="1" applyAlignment="1">
      <alignment horizontal="center"/>
    </xf>
    <xf numFmtId="3" fontId="0" fillId="0" borderId="36" xfId="0" applyNumberFormat="1" applyBorder="1" applyAlignment="1">
      <alignment horizontal="center"/>
    </xf>
    <xf numFmtId="0" fontId="0" fillId="0" borderId="37" xfId="0" applyBorder="1"/>
    <xf numFmtId="3" fontId="0" fillId="0" borderId="26" xfId="0" applyNumberFormat="1" applyBorder="1" applyAlignment="1">
      <alignment horizontal="right"/>
    </xf>
    <xf numFmtId="0" fontId="0" fillId="0" borderId="32" xfId="0" applyBorder="1" applyAlignment="1">
      <alignment horizontal="right"/>
    </xf>
    <xf numFmtId="0" fontId="0" fillId="0" borderId="26" xfId="0" applyBorder="1" applyAlignment="1">
      <alignment horizontal="right"/>
    </xf>
    <xf numFmtId="3" fontId="0" fillId="0" borderId="32" xfId="0" applyNumberFormat="1" applyBorder="1" applyAlignment="1">
      <alignment horizontal="right"/>
    </xf>
    <xf numFmtId="3" fontId="0" fillId="0" borderId="36" xfId="0" applyNumberFormat="1" applyBorder="1" applyAlignment="1">
      <alignment horizontal="right"/>
    </xf>
    <xf numFmtId="3" fontId="0" fillId="0" borderId="33" xfId="0" applyNumberFormat="1" applyBorder="1" applyAlignment="1">
      <alignment horizontal="right"/>
    </xf>
    <xf numFmtId="3" fontId="0" fillId="0" borderId="37" xfId="0" applyNumberFormat="1" applyBorder="1" applyAlignment="1">
      <alignment horizontal="right"/>
    </xf>
    <xf numFmtId="0" fontId="0" fillId="0" borderId="34" xfId="0" applyBorder="1" applyAlignment="1">
      <alignment horizontal="right"/>
    </xf>
    <xf numFmtId="0" fontId="0" fillId="5" borderId="4" xfId="0" applyFill="1" applyBorder="1"/>
    <xf numFmtId="0" fontId="5" fillId="0" borderId="0" xfId="0" applyFont="1" applyAlignment="1">
      <alignment horizontal="left"/>
    </xf>
    <xf numFmtId="0" fontId="0" fillId="0" borderId="38" xfId="0" applyBorder="1"/>
    <xf numFmtId="3" fontId="0" fillId="5" borderId="26" xfId="0" applyNumberFormat="1" applyFill="1" applyBorder="1" applyAlignment="1">
      <alignment horizontal="center"/>
    </xf>
    <xf numFmtId="3" fontId="1" fillId="0" borderId="36" xfId="0" applyNumberFormat="1" applyFont="1" applyBorder="1" applyAlignment="1">
      <alignment horizontal="center"/>
    </xf>
    <xf numFmtId="3" fontId="0" fillId="0" borderId="26" xfId="0" applyNumberFormat="1" applyBorder="1"/>
    <xf numFmtId="0" fontId="1" fillId="0" borderId="26" xfId="0" applyFont="1" applyBorder="1"/>
    <xf numFmtId="0" fontId="1" fillId="0" borderId="4" xfId="0" applyFont="1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5" fillId="0" borderId="42" xfId="0" applyFont="1" applyBorder="1" applyAlignment="1">
      <alignment horizontal="center"/>
    </xf>
    <xf numFmtId="10" fontId="0" fillId="0" borderId="37" xfId="0" applyNumberFormat="1" applyBorder="1" applyAlignment="1">
      <alignment horizontal="center"/>
    </xf>
    <xf numFmtId="0" fontId="0" fillId="0" borderId="32" xfId="0" applyBorder="1"/>
    <xf numFmtId="49" fontId="0" fillId="0" borderId="32" xfId="0" applyNumberFormat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1" fillId="6" borderId="26" xfId="0" applyFont="1" applyFill="1" applyBorder="1" applyAlignment="1">
      <alignment horizontal="center"/>
    </xf>
    <xf numFmtId="0" fontId="1" fillId="4" borderId="26" xfId="0" applyFont="1" applyFill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6" borderId="37" xfId="0" applyFont="1" applyFill="1" applyBorder="1" applyAlignment="1">
      <alignment horizontal="center"/>
    </xf>
    <xf numFmtId="3" fontId="1" fillId="11" borderId="36" xfId="0" applyNumberFormat="1" applyFont="1" applyFill="1" applyBorder="1" applyAlignment="1">
      <alignment horizontal="center"/>
    </xf>
    <xf numFmtId="3" fontId="1" fillId="11" borderId="8" xfId="0" applyNumberFormat="1" applyFont="1" applyFill="1" applyBorder="1" applyAlignment="1">
      <alignment horizontal="center"/>
    </xf>
    <xf numFmtId="0" fontId="3" fillId="0" borderId="0" xfId="0" applyFont="1" applyAlignment="1">
      <alignment horizontal="left"/>
    </xf>
    <xf numFmtId="3" fontId="1" fillId="0" borderId="0" xfId="0" applyNumberFormat="1" applyFont="1" applyAlignment="1">
      <alignment horizontal="center"/>
    </xf>
    <xf numFmtId="3" fontId="1" fillId="0" borderId="33" xfId="0" applyNumberFormat="1" applyFont="1" applyBorder="1" applyAlignment="1">
      <alignment horizontal="center"/>
    </xf>
    <xf numFmtId="2" fontId="1" fillId="0" borderId="12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5" borderId="16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5" borderId="11" xfId="0" applyFill="1" applyBorder="1" applyAlignment="1">
      <alignment horizontal="left"/>
    </xf>
    <xf numFmtId="0" fontId="0" fillId="9" borderId="13" xfId="0" applyFill="1" applyBorder="1" applyAlignment="1">
      <alignment wrapText="1"/>
    </xf>
    <xf numFmtId="0" fontId="0" fillId="9" borderId="14" xfId="0" applyFill="1" applyBorder="1" applyAlignment="1">
      <alignment wrapText="1"/>
    </xf>
    <xf numFmtId="0" fontId="0" fillId="9" borderId="15" xfId="0" applyFill="1" applyBorder="1" applyAlignment="1">
      <alignment wrapText="1"/>
    </xf>
    <xf numFmtId="0" fontId="0" fillId="9" borderId="16" xfId="0" applyFill="1" applyBorder="1" applyAlignment="1">
      <alignment wrapText="1"/>
    </xf>
    <xf numFmtId="0" fontId="0" fillId="9" borderId="0" xfId="0" applyFill="1" applyAlignment="1">
      <alignment wrapText="1"/>
    </xf>
    <xf numFmtId="0" fontId="0" fillId="9" borderId="11" xfId="0" applyFill="1" applyBorder="1" applyAlignment="1">
      <alignment wrapText="1"/>
    </xf>
    <xf numFmtId="0" fontId="3" fillId="0" borderId="21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5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5" fillId="12" borderId="21" xfId="0" applyFont="1" applyFill="1" applyBorder="1" applyAlignment="1">
      <alignment horizontal="center"/>
    </xf>
    <xf numFmtId="0" fontId="5" fillId="12" borderId="22" xfId="0" applyFont="1" applyFill="1" applyBorder="1" applyAlignment="1">
      <alignment horizontal="center"/>
    </xf>
    <xf numFmtId="0" fontId="5" fillId="12" borderId="23" xfId="0" applyFont="1" applyFill="1" applyBorder="1" applyAlignment="1">
      <alignment horizontal="center"/>
    </xf>
    <xf numFmtId="0" fontId="0" fillId="12" borderId="4" xfId="0" applyFill="1" applyBorder="1"/>
    <xf numFmtId="0" fontId="0" fillId="12" borderId="0" xfId="0" applyFill="1"/>
    <xf numFmtId="0" fontId="0" fillId="12" borderId="5" xfId="0" applyFill="1" applyBorder="1"/>
    <xf numFmtId="0" fontId="0" fillId="12" borderId="6" xfId="0" applyFill="1" applyBorder="1"/>
    <xf numFmtId="0" fontId="0" fillId="12" borderId="7" xfId="0" applyFill="1" applyBorder="1"/>
    <xf numFmtId="0" fontId="0" fillId="12" borderId="9" xfId="0" applyFill="1" applyBorder="1"/>
    <xf numFmtId="0" fontId="0" fillId="0" borderId="0" xfId="0"/>
    <xf numFmtId="0" fontId="5" fillId="5" borderId="28" xfId="0" applyFont="1" applyFill="1" applyBorder="1" applyAlignment="1">
      <alignment horizontal="center"/>
    </xf>
    <xf numFmtId="0" fontId="1" fillId="5" borderId="29" xfId="0" applyFont="1" applyFill="1" applyBorder="1" applyAlignment="1">
      <alignment horizontal="center"/>
    </xf>
    <xf numFmtId="0" fontId="1" fillId="5" borderId="30" xfId="0" applyFont="1" applyFill="1" applyBorder="1" applyAlignment="1">
      <alignment horizontal="center"/>
    </xf>
    <xf numFmtId="0" fontId="0" fillId="5" borderId="17" xfId="0" applyFill="1" applyBorder="1" applyAlignment="1">
      <alignment horizontal="left"/>
    </xf>
    <xf numFmtId="0" fontId="0" fillId="5" borderId="18" xfId="0" applyFill="1" applyBorder="1" applyAlignment="1">
      <alignment horizontal="left"/>
    </xf>
    <xf numFmtId="0" fontId="0" fillId="5" borderId="10" xfId="0" applyFill="1" applyBorder="1" applyAlignment="1">
      <alignment horizontal="left"/>
    </xf>
    <xf numFmtId="0" fontId="5" fillId="9" borderId="28" xfId="0" applyFont="1" applyFill="1" applyBorder="1" applyAlignment="1">
      <alignment horizontal="center"/>
    </xf>
    <xf numFmtId="0" fontId="0" fillId="9" borderId="29" xfId="0" applyFill="1" applyBorder="1" applyAlignment="1">
      <alignment horizontal="center"/>
    </xf>
    <xf numFmtId="0" fontId="0" fillId="9" borderId="30" xfId="0" applyFill="1" applyBorder="1" applyAlignment="1">
      <alignment horizontal="center"/>
    </xf>
    <xf numFmtId="0" fontId="0" fillId="9" borderId="17" xfId="0" applyFill="1" applyBorder="1"/>
    <xf numFmtId="0" fontId="0" fillId="9" borderId="18" xfId="0" applyFill="1" applyBorder="1"/>
    <xf numFmtId="0" fontId="0" fillId="9" borderId="10" xfId="0" applyFill="1" applyBorder="1"/>
    <xf numFmtId="0" fontId="1" fillId="6" borderId="39" xfId="0" applyFont="1" applyFill="1" applyBorder="1" applyAlignment="1">
      <alignment horizontal="center"/>
    </xf>
    <xf numFmtId="0" fontId="1" fillId="6" borderId="40" xfId="0" applyFont="1" applyFill="1" applyBorder="1" applyAlignment="1">
      <alignment horizontal="center"/>
    </xf>
    <xf numFmtId="0" fontId="1" fillId="6" borderId="41" xfId="0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12" fillId="8" borderId="0" xfId="0" applyFont="1" applyFill="1" applyAlignment="1">
      <alignment horizontal="center"/>
    </xf>
    <xf numFmtId="0" fontId="5" fillId="0" borderId="29" xfId="0" applyFont="1" applyBorder="1" applyAlignment="1">
      <alignment horizontal="center"/>
    </xf>
    <xf numFmtId="3" fontId="11" fillId="7" borderId="24" xfId="0" applyNumberFormat="1" applyFont="1" applyFill="1" applyBorder="1" applyAlignment="1">
      <alignment horizontal="center"/>
    </xf>
    <xf numFmtId="0" fontId="11" fillId="7" borderId="14" xfId="0" applyFont="1" applyFill="1" applyBorder="1" applyAlignment="1">
      <alignment horizontal="center"/>
    </xf>
    <xf numFmtId="0" fontId="11" fillId="7" borderId="25" xfId="0" applyFont="1" applyFill="1" applyBorder="1" applyAlignment="1">
      <alignment horizontal="center"/>
    </xf>
    <xf numFmtId="0" fontId="11" fillId="7" borderId="6" xfId="0" applyFont="1" applyFill="1" applyBorder="1" applyAlignment="1">
      <alignment horizontal="center"/>
    </xf>
    <xf numFmtId="0" fontId="11" fillId="7" borderId="7" xfId="0" applyFont="1" applyFill="1" applyBorder="1" applyAlignment="1">
      <alignment horizontal="center"/>
    </xf>
    <xf numFmtId="0" fontId="11" fillId="7" borderId="9" xfId="0" applyFont="1" applyFill="1" applyBorder="1" applyAlignment="1">
      <alignment horizontal="center"/>
    </xf>
    <xf numFmtId="0" fontId="11" fillId="7" borderId="24" xfId="0" applyFont="1" applyFill="1" applyBorder="1" applyAlignment="1">
      <alignment horizontal="center"/>
    </xf>
    <xf numFmtId="0" fontId="9" fillId="8" borderId="0" xfId="0" applyFont="1" applyFill="1" applyAlignment="1">
      <alignment horizontal="center"/>
    </xf>
    <xf numFmtId="0" fontId="5" fillId="7" borderId="21" xfId="0" applyFont="1" applyFill="1" applyBorder="1" applyAlignment="1">
      <alignment horizontal="center"/>
    </xf>
    <xf numFmtId="0" fontId="5" fillId="7" borderId="22" xfId="0" applyFont="1" applyFill="1" applyBorder="1" applyAlignment="1">
      <alignment horizontal="center"/>
    </xf>
    <xf numFmtId="0" fontId="5" fillId="7" borderId="23" xfId="0" applyFont="1" applyFill="1" applyBorder="1" applyAlignment="1">
      <alignment horizontal="center"/>
    </xf>
    <xf numFmtId="0" fontId="0" fillId="7" borderId="22" xfId="0" applyFill="1" applyBorder="1" applyAlignment="1">
      <alignment horizontal="center"/>
    </xf>
    <xf numFmtId="0" fontId="0" fillId="7" borderId="23" xfId="0" applyFill="1" applyBorder="1" applyAlignment="1">
      <alignment horizontal="center"/>
    </xf>
    <xf numFmtId="0" fontId="3" fillId="10" borderId="0" xfId="0" applyFont="1" applyFill="1"/>
    <xf numFmtId="0" fontId="10" fillId="0" borderId="6" xfId="0" applyFont="1" applyBorder="1" applyAlignment="1">
      <alignment shrinkToFit="1"/>
    </xf>
    <xf numFmtId="0" fontId="0" fillId="0" borderId="7" xfId="0" applyBorder="1" applyAlignment="1">
      <alignment shrinkToFit="1"/>
    </xf>
    <xf numFmtId="0" fontId="0" fillId="0" borderId="9" xfId="0" applyBorder="1" applyAlignment="1">
      <alignment shrinkToFit="1"/>
    </xf>
    <xf numFmtId="0" fontId="4" fillId="7" borderId="0" xfId="0" applyFont="1" applyFill="1" applyAlignment="1">
      <alignment horizontal="center"/>
    </xf>
    <xf numFmtId="3" fontId="4" fillId="13" borderId="0" xfId="0" applyNumberFormat="1" applyFont="1" applyFill="1" applyAlignment="1">
      <alignment horizontal="center"/>
    </xf>
    <xf numFmtId="3" fontId="1" fillId="13" borderId="0" xfId="0" applyNumberFormat="1" applyFont="1" applyFill="1" applyAlignment="1">
      <alignment horizontal="center"/>
    </xf>
    <xf numFmtId="0" fontId="3" fillId="10" borderId="0" xfId="0" applyFont="1" applyFill="1" applyAlignment="1">
      <alignment horizontal="left"/>
    </xf>
    <xf numFmtId="0" fontId="1" fillId="0" borderId="21" xfId="0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5" fillId="10" borderId="0" xfId="0" applyFont="1" applyFill="1"/>
    <xf numFmtId="0" fontId="4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3" fillId="6" borderId="9" xfId="0" applyFont="1" applyFill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13" fillId="10" borderId="0" xfId="0" applyFont="1" applyFill="1"/>
    <xf numFmtId="0" fontId="2" fillId="10" borderId="0" xfId="0" applyFont="1" applyFill="1"/>
  </cellXfs>
  <cellStyles count="1">
    <cellStyle name="Normal" xfId="0" builtinId="0"/>
  </cellStyles>
  <dxfs count="5"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33CC33"/>
      <color rgb="FFFF3B3B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Financial</a:t>
            </a:r>
            <a:r>
              <a:rPr lang="en-IN" baseline="0"/>
              <a:t> Ratio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'Ratio Analysis'!$E$4:$E$10</c:f>
              <c:strCache>
                <c:ptCount val="7"/>
                <c:pt idx="0">
                  <c:v>Current Ratio</c:v>
                </c:pt>
                <c:pt idx="1">
                  <c:v>Quick Ratio</c:v>
                </c:pt>
                <c:pt idx="2">
                  <c:v>Net Profit Margin</c:v>
                </c:pt>
                <c:pt idx="3">
                  <c:v>Debt Ratio</c:v>
                </c:pt>
                <c:pt idx="4">
                  <c:v>Debt Equity Ratio</c:v>
                </c:pt>
                <c:pt idx="5">
                  <c:v>Inventory Turnover</c:v>
                </c:pt>
                <c:pt idx="6">
                  <c:v>Return on Investment</c:v>
                </c:pt>
              </c:strCache>
            </c:strRef>
          </c:cat>
          <c:val>
            <c:numRef>
              <c:f>'Ratio Analysis'!$F$4:$F$10</c:f>
              <c:numCache>
                <c:formatCode>General</c:formatCode>
                <c:ptCount val="7"/>
                <c:pt idx="0">
                  <c:v>1.88</c:v>
                </c:pt>
                <c:pt idx="1">
                  <c:v>0.64</c:v>
                </c:pt>
                <c:pt idx="2" formatCode="0.00%">
                  <c:v>0.21429999999999999</c:v>
                </c:pt>
                <c:pt idx="3" formatCode="0.00">
                  <c:v>0.43390000000000001</c:v>
                </c:pt>
                <c:pt idx="4" formatCode="0.00">
                  <c:v>0.77</c:v>
                </c:pt>
                <c:pt idx="5">
                  <c:v>2.25</c:v>
                </c:pt>
                <c:pt idx="6" formatCode="0.00%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11-451E-B443-8C8515C0A26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41341711"/>
        <c:axId val="941346511"/>
      </c:barChart>
      <c:catAx>
        <c:axId val="941341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346511"/>
        <c:crosses val="autoZero"/>
        <c:auto val="1"/>
        <c:lblAlgn val="ctr"/>
        <c:lblOffset val="100"/>
        <c:noMultiLvlLbl val="0"/>
      </c:catAx>
      <c:valAx>
        <c:axId val="941346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341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Financial Ratio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452831134961632E-2"/>
          <c:y val="0.13469783361719284"/>
          <c:w val="0.89634200735346492"/>
          <c:h val="0.683816839968174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Dashboard!$D$28</c:f>
              <c:strCache>
                <c:ptCount val="1"/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Dashboard!$C$29:$C$35</c:f>
              <c:strCache>
                <c:ptCount val="7"/>
                <c:pt idx="0">
                  <c:v>Current Ratio</c:v>
                </c:pt>
                <c:pt idx="1">
                  <c:v>Quick Ratio</c:v>
                </c:pt>
                <c:pt idx="2">
                  <c:v>Net Profit Margin</c:v>
                </c:pt>
                <c:pt idx="3">
                  <c:v>Debt Ratio</c:v>
                </c:pt>
                <c:pt idx="4">
                  <c:v>Debt Equity Ratio</c:v>
                </c:pt>
                <c:pt idx="5">
                  <c:v>Inventory Turnover</c:v>
                </c:pt>
                <c:pt idx="6">
                  <c:v>Return on Investment</c:v>
                </c:pt>
              </c:strCache>
            </c:strRef>
          </c:cat>
          <c:val>
            <c:numRef>
              <c:f>Dashboard!$D$29:$D$35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0-D599-4509-ADAC-ABED5EDE1343}"/>
            </c:ext>
          </c:extLst>
        </c:ser>
        <c:ser>
          <c:idx val="1"/>
          <c:order val="1"/>
          <c:tx>
            <c:strRef>
              <c:f>Dashboard!$E$28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Dashboard!$C$29:$C$35</c:f>
              <c:strCache>
                <c:ptCount val="7"/>
                <c:pt idx="0">
                  <c:v>Current Ratio</c:v>
                </c:pt>
                <c:pt idx="1">
                  <c:v>Quick Ratio</c:v>
                </c:pt>
                <c:pt idx="2">
                  <c:v>Net Profit Margin</c:v>
                </c:pt>
                <c:pt idx="3">
                  <c:v>Debt Ratio</c:v>
                </c:pt>
                <c:pt idx="4">
                  <c:v>Debt Equity Ratio</c:v>
                </c:pt>
                <c:pt idx="5">
                  <c:v>Inventory Turnover</c:v>
                </c:pt>
                <c:pt idx="6">
                  <c:v>Return on Investment</c:v>
                </c:pt>
              </c:strCache>
            </c:strRef>
          </c:cat>
          <c:val>
            <c:numRef>
              <c:f>Dashboard!$E$29:$E$35</c:f>
              <c:numCache>
                <c:formatCode>General</c:formatCode>
                <c:ptCount val="7"/>
                <c:pt idx="0">
                  <c:v>1.88</c:v>
                </c:pt>
                <c:pt idx="1">
                  <c:v>0.64</c:v>
                </c:pt>
                <c:pt idx="2" formatCode="0.00%">
                  <c:v>0.21429999999999999</c:v>
                </c:pt>
                <c:pt idx="3" formatCode="0.00">
                  <c:v>0.43390000000000001</c:v>
                </c:pt>
                <c:pt idx="4" formatCode="0.00">
                  <c:v>0.77</c:v>
                </c:pt>
                <c:pt idx="5">
                  <c:v>2.25</c:v>
                </c:pt>
                <c:pt idx="6" formatCode="0.00%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99-4509-ADAC-ABED5EDE134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41382511"/>
        <c:axId val="941362351"/>
      </c:barChart>
      <c:catAx>
        <c:axId val="941382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362351"/>
        <c:crosses val="autoZero"/>
        <c:auto val="1"/>
        <c:lblAlgn val="ctr"/>
        <c:lblOffset val="100"/>
        <c:noMultiLvlLbl val="0"/>
      </c:catAx>
      <c:valAx>
        <c:axId val="941362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382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Health</a:t>
            </a:r>
            <a:r>
              <a:rPr lang="en-IN" baseline="0"/>
              <a:t> Score Distribution</a:t>
            </a:r>
            <a:endParaRPr lang="en-IN"/>
          </a:p>
        </c:rich>
      </c:tx>
      <c:layout>
        <c:manualLayout>
          <c:xMode val="edge"/>
          <c:yMode val="edge"/>
          <c:x val="0.33102603092395483"/>
          <c:y val="1.70394036208732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29099170443082761"/>
          <c:y val="0.16474956604865287"/>
          <c:w val="0.43749825021872263"/>
          <c:h val="0.73170439060971026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C9F-4EE6-A721-58382F90035C}"/>
              </c:ext>
            </c:extLst>
          </c:dPt>
          <c:dPt>
            <c:idx val="1"/>
            <c:bubble3D val="0"/>
            <c:spPr>
              <a:solidFill>
                <a:schemeClr val="accent1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C9F-4EE6-A721-58382F90035C}"/>
              </c:ext>
            </c:extLst>
          </c:dPt>
          <c:dPt>
            <c:idx val="2"/>
            <c:bubble3D val="0"/>
            <c:spPr>
              <a:solidFill>
                <a:schemeClr val="accent1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C9F-4EE6-A721-58382F90035C}"/>
              </c:ext>
            </c:extLst>
          </c:dPt>
          <c:dPt>
            <c:idx val="3"/>
            <c:bubble3D val="0"/>
            <c:spPr>
              <a:solidFill>
                <a:schemeClr val="accent1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C9F-4EE6-A721-58382F90035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Dashboard!$N$29:$N$32</c:f>
              <c:strCache>
                <c:ptCount val="4"/>
                <c:pt idx="0">
                  <c:v>Liquidity</c:v>
                </c:pt>
                <c:pt idx="1">
                  <c:v>Profitability</c:v>
                </c:pt>
                <c:pt idx="2">
                  <c:v>Solvency</c:v>
                </c:pt>
                <c:pt idx="3">
                  <c:v>Efficiency</c:v>
                </c:pt>
              </c:strCache>
            </c:strRef>
          </c:cat>
          <c:val>
            <c:numRef>
              <c:f>Dashboard!$O$29:$O$32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81B4-472F-891E-B84928B59103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81B4-472F-891E-B84928B59103}"/>
              </c:ext>
            </c:extLst>
          </c:dPt>
          <c:dPt>
            <c:idx val="1"/>
            <c:bubble3D val="0"/>
            <c:spPr>
              <a:solidFill>
                <a:schemeClr val="accent1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1B4-472F-891E-B84928B59103}"/>
              </c:ext>
            </c:extLst>
          </c:dPt>
          <c:dPt>
            <c:idx val="2"/>
            <c:bubble3D val="0"/>
            <c:spPr>
              <a:solidFill>
                <a:schemeClr val="accent1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1B4-472F-891E-B84928B59103}"/>
              </c:ext>
            </c:extLst>
          </c:dPt>
          <c:dPt>
            <c:idx val="3"/>
            <c:bubble3D val="0"/>
            <c:spPr>
              <a:solidFill>
                <a:schemeClr val="accent1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1B4-472F-891E-B84928B59103}"/>
              </c:ext>
            </c:extLst>
          </c:dPt>
          <c:dLbls>
            <c:dLbl>
              <c:idx val="0"/>
              <c:layout>
                <c:manualLayout>
                  <c:x val="8.0555555555555561E-2"/>
                  <c:y val="-6.96864111498257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1B4-472F-891E-B84928B59103}"/>
                </c:ext>
              </c:extLst>
            </c:dLbl>
            <c:dLbl>
              <c:idx val="1"/>
              <c:layout>
                <c:manualLayout>
                  <c:x val="9.7222222222222224E-2"/>
                  <c:y val="8.362369337979094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1B4-472F-891E-B84928B59103}"/>
                </c:ext>
              </c:extLst>
            </c:dLbl>
            <c:dLbl>
              <c:idx val="2"/>
              <c:layout>
                <c:manualLayout>
                  <c:x val="-8.3333333333333329E-2"/>
                  <c:y val="8.36236933797908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1B4-472F-891E-B84928B59103}"/>
                </c:ext>
              </c:extLst>
            </c:dLbl>
            <c:dLbl>
              <c:idx val="3"/>
              <c:layout>
                <c:manualLayout>
                  <c:x val="-7.5000000000000053E-2"/>
                  <c:y val="-7.433217189314750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1B4-472F-891E-B84928B5910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Dashboard!$N$29:$N$32</c:f>
              <c:strCache>
                <c:ptCount val="4"/>
                <c:pt idx="0">
                  <c:v>Liquidity</c:v>
                </c:pt>
                <c:pt idx="1">
                  <c:v>Profitability</c:v>
                </c:pt>
                <c:pt idx="2">
                  <c:v>Solvency</c:v>
                </c:pt>
                <c:pt idx="3">
                  <c:v>Efficiency</c:v>
                </c:pt>
              </c:strCache>
            </c:strRef>
          </c:cat>
          <c:val>
            <c:numRef>
              <c:f>Dashboard!$P$29:$P$32</c:f>
              <c:numCache>
                <c:formatCode>0.00</c:formatCode>
                <c:ptCount val="4"/>
                <c:pt idx="0">
                  <c:v>15</c:v>
                </c:pt>
                <c:pt idx="1">
                  <c:v>23</c:v>
                </c:pt>
                <c:pt idx="2">
                  <c:v>23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B4-472F-891E-B84928B5910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35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2389706066856366"/>
          <c:y val="0.91533496012678928"/>
          <c:w val="0.55762863691583986"/>
          <c:h val="6.86730622756375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428625</xdr:colOff>
      <xdr:row>1</xdr:row>
      <xdr:rowOff>0</xdr:rowOff>
    </xdr:from>
    <xdr:to>
      <xdr:col>19</xdr:col>
      <xdr:colOff>238125</xdr:colOff>
      <xdr:row>16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EE8ED0D-D739-0514-8028-75C5CCEDD7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266701</xdr:colOff>
      <xdr:row>7</xdr:row>
      <xdr:rowOff>114300</xdr:rowOff>
    </xdr:from>
    <xdr:to>
      <xdr:col>9</xdr:col>
      <xdr:colOff>581026</xdr:colOff>
      <xdr:row>23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5DE952-677C-22D0-F0F7-CF4BCEDE5C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222250</xdr:colOff>
      <xdr:row>7</xdr:row>
      <xdr:rowOff>116417</xdr:rowOff>
    </xdr:from>
    <xdr:to>
      <xdr:col>18</xdr:col>
      <xdr:colOff>169333</xdr:colOff>
      <xdr:row>23</xdr:row>
      <xdr:rowOff>127000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2708634-549A-A912-C3E5-A32DB5BC48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A6463-70B8-4D00-9031-81591B3FCF50}">
  <dimension ref="A1:S26"/>
  <sheetViews>
    <sheetView zoomScale="80" zoomScaleNormal="80" workbookViewId="0">
      <selection activeCell="I10" sqref="I10"/>
    </sheetView>
  </sheetViews>
  <sheetFormatPr defaultRowHeight="15" x14ac:dyDescent="0.25"/>
  <cols>
    <col min="2" max="2" width="27.5703125" customWidth="1"/>
    <col min="4" max="4" width="16.85546875" customWidth="1"/>
    <col min="5" max="5" width="16.5703125" customWidth="1"/>
  </cols>
  <sheetData>
    <row r="1" spans="1:19" ht="21" x14ac:dyDescent="0.35">
      <c r="A1" s="142" t="s">
        <v>86</v>
      </c>
      <c r="B1" s="142"/>
      <c r="C1" s="142"/>
      <c r="D1" s="142"/>
      <c r="E1" s="142"/>
      <c r="F1" s="142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</row>
    <row r="2" spans="1:19" ht="15.75" thickBot="1" x14ac:dyDescent="0.3"/>
    <row r="3" spans="1:19" ht="15.75" x14ac:dyDescent="0.25">
      <c r="B3" s="25" t="s">
        <v>0</v>
      </c>
      <c r="C3" s="33" t="s">
        <v>1</v>
      </c>
      <c r="D3" s="33" t="s">
        <v>2</v>
      </c>
      <c r="E3" s="28" t="s">
        <v>3</v>
      </c>
    </row>
    <row r="4" spans="1:19" x14ac:dyDescent="0.25">
      <c r="B4" s="2" t="s">
        <v>4</v>
      </c>
      <c r="C4" s="21"/>
      <c r="D4" s="37">
        <v>200000</v>
      </c>
      <c r="E4" s="38"/>
    </row>
    <row r="5" spans="1:19" x14ac:dyDescent="0.25">
      <c r="B5" s="2" t="s">
        <v>5</v>
      </c>
      <c r="C5" s="21"/>
      <c r="D5" s="37">
        <v>250000</v>
      </c>
      <c r="E5" s="38"/>
    </row>
    <row r="6" spans="1:19" x14ac:dyDescent="0.25">
      <c r="B6" s="2" t="s">
        <v>6</v>
      </c>
      <c r="C6" s="21"/>
      <c r="D6" s="39"/>
      <c r="E6" s="40">
        <v>300000</v>
      </c>
    </row>
    <row r="7" spans="1:19" x14ac:dyDescent="0.25">
      <c r="B7" s="2" t="s">
        <v>7</v>
      </c>
      <c r="C7" s="21"/>
      <c r="D7" s="37">
        <v>15000</v>
      </c>
      <c r="E7" s="38"/>
    </row>
    <row r="8" spans="1:19" x14ac:dyDescent="0.25">
      <c r="B8" s="2" t="s">
        <v>8</v>
      </c>
      <c r="C8" s="21"/>
      <c r="D8" s="37">
        <v>75000</v>
      </c>
      <c r="E8" s="38"/>
    </row>
    <row r="9" spans="1:19" x14ac:dyDescent="0.25">
      <c r="B9" s="2" t="s">
        <v>9</v>
      </c>
      <c r="C9" s="21"/>
      <c r="D9" s="39"/>
      <c r="E9" s="40">
        <v>100000</v>
      </c>
    </row>
    <row r="10" spans="1:19" x14ac:dyDescent="0.25">
      <c r="B10" s="2" t="s">
        <v>10</v>
      </c>
      <c r="C10" s="21"/>
      <c r="D10" s="39"/>
      <c r="E10" s="40">
        <v>500000</v>
      </c>
    </row>
    <row r="11" spans="1:19" x14ac:dyDescent="0.25">
      <c r="B11" s="2" t="s">
        <v>11</v>
      </c>
      <c r="C11" s="21"/>
      <c r="D11" s="37">
        <v>25000</v>
      </c>
      <c r="E11" s="38"/>
    </row>
    <row r="12" spans="1:19" x14ac:dyDescent="0.25">
      <c r="B12" s="2" t="s">
        <v>32</v>
      </c>
      <c r="C12" s="21"/>
      <c r="D12" s="37"/>
      <c r="E12" s="40">
        <v>200000</v>
      </c>
    </row>
    <row r="13" spans="1:19" x14ac:dyDescent="0.25">
      <c r="B13" s="2" t="s">
        <v>12</v>
      </c>
      <c r="C13" s="21"/>
      <c r="D13" s="37">
        <v>20000</v>
      </c>
      <c r="E13" s="38"/>
    </row>
    <row r="14" spans="1:19" x14ac:dyDescent="0.25">
      <c r="B14" s="2" t="s">
        <v>13</v>
      </c>
      <c r="C14" s="21"/>
      <c r="D14" s="39"/>
      <c r="E14" s="40">
        <v>45000</v>
      </c>
    </row>
    <row r="15" spans="1:19" x14ac:dyDescent="0.25">
      <c r="B15" s="2" t="s">
        <v>33</v>
      </c>
      <c r="C15" s="21"/>
      <c r="D15" s="37">
        <v>350000</v>
      </c>
      <c r="E15" s="38"/>
    </row>
    <row r="16" spans="1:19" x14ac:dyDescent="0.25">
      <c r="B16" s="2" t="s">
        <v>34</v>
      </c>
      <c r="C16" s="21"/>
      <c r="D16" s="37">
        <v>80000</v>
      </c>
      <c r="E16" s="38"/>
    </row>
    <row r="17" spans="2:5" x14ac:dyDescent="0.25">
      <c r="B17" s="2" t="s">
        <v>14</v>
      </c>
      <c r="C17" s="21"/>
      <c r="D17" s="37">
        <v>60000</v>
      </c>
      <c r="E17" s="38"/>
    </row>
    <row r="18" spans="2:5" x14ac:dyDescent="0.25">
      <c r="B18" s="2" t="s">
        <v>15</v>
      </c>
      <c r="C18" s="21"/>
      <c r="D18" s="39"/>
      <c r="E18" s="40">
        <v>50000</v>
      </c>
    </row>
    <row r="19" spans="2:5" x14ac:dyDescent="0.25">
      <c r="B19" s="2" t="s">
        <v>35</v>
      </c>
      <c r="C19" s="21"/>
      <c r="D19" s="39"/>
      <c r="E19" s="40">
        <v>60000</v>
      </c>
    </row>
    <row r="20" spans="2:5" x14ac:dyDescent="0.25">
      <c r="B20" s="2" t="s">
        <v>16</v>
      </c>
      <c r="C20" s="21"/>
      <c r="D20" s="37">
        <v>200000</v>
      </c>
      <c r="E20" s="38"/>
    </row>
    <row r="21" spans="2:5" x14ac:dyDescent="0.25">
      <c r="B21" s="2" t="s">
        <v>17</v>
      </c>
      <c r="C21" s="21"/>
      <c r="D21" s="39"/>
      <c r="E21" s="40">
        <v>20000</v>
      </c>
    </row>
    <row r="22" spans="2:5" x14ac:dyDescent="0.25">
      <c r="B22" s="2"/>
      <c r="C22" s="21"/>
      <c r="D22" s="39"/>
      <c r="E22" s="38"/>
    </row>
    <row r="23" spans="2:5" ht="15.75" thickBot="1" x14ac:dyDescent="0.3">
      <c r="B23" s="2"/>
      <c r="C23" s="21"/>
      <c r="D23" s="41">
        <f>SUM(D4:D22)</f>
        <v>1275000</v>
      </c>
      <c r="E23" s="42">
        <f>SUM(E5:E22)</f>
        <v>1275000</v>
      </c>
    </row>
    <row r="24" spans="2:5" ht="16.5" thickTop="1" thickBot="1" x14ac:dyDescent="0.3">
      <c r="B24" s="4"/>
      <c r="C24" s="36"/>
      <c r="D24" s="43"/>
      <c r="E24" s="44"/>
    </row>
    <row r="26" spans="2:5" x14ac:dyDescent="0.25">
      <c r="B26" t="s">
        <v>22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DCC39-A9E8-4FC8-8B6F-65972DC3469B}">
  <dimension ref="A1:O25"/>
  <sheetViews>
    <sheetView zoomScale="87" zoomScaleNormal="87" workbookViewId="0">
      <selection activeCell="X11" sqref="X11"/>
    </sheetView>
  </sheetViews>
  <sheetFormatPr defaultRowHeight="15" x14ac:dyDescent="0.25"/>
  <cols>
    <col min="4" max="4" width="32.7109375" customWidth="1"/>
    <col min="5" max="5" width="14.28515625" customWidth="1"/>
    <col min="7" max="7" width="34.42578125" customWidth="1"/>
    <col min="8" max="8" width="14.42578125" customWidth="1"/>
  </cols>
  <sheetData>
    <row r="1" spans="1:15" ht="21" x14ac:dyDescent="0.35">
      <c r="A1" s="149" t="s">
        <v>87</v>
      </c>
      <c r="B1" s="149"/>
      <c r="C1" s="149"/>
      <c r="D1" s="149"/>
      <c r="E1" s="149"/>
      <c r="F1" s="149"/>
      <c r="G1" s="149"/>
      <c r="H1" s="149"/>
      <c r="I1" s="149"/>
      <c r="J1" s="149"/>
      <c r="K1" s="46"/>
      <c r="L1" s="46"/>
      <c r="M1" s="46"/>
      <c r="N1" s="46"/>
      <c r="O1" s="46"/>
    </row>
    <row r="2" spans="1:15" ht="21" x14ac:dyDescent="0.35">
      <c r="A2" s="66"/>
      <c r="B2" s="66"/>
      <c r="C2" s="66"/>
      <c r="D2" s="66"/>
      <c r="E2" s="66"/>
      <c r="F2" s="66"/>
      <c r="G2" s="66"/>
      <c r="H2" s="66"/>
      <c r="I2" s="66"/>
      <c r="J2" s="66"/>
      <c r="K2" s="46"/>
      <c r="L2" s="46"/>
      <c r="M2" s="46"/>
      <c r="N2" s="46"/>
      <c r="O2" s="46"/>
    </row>
    <row r="3" spans="1:15" ht="21" x14ac:dyDescent="0.35">
      <c r="A3" s="66"/>
      <c r="B3" s="66"/>
      <c r="C3" s="66"/>
      <c r="D3" s="66"/>
      <c r="E3" s="146" t="s">
        <v>120</v>
      </c>
      <c r="F3" s="146"/>
      <c r="G3" s="146"/>
      <c r="H3" s="66"/>
      <c r="I3" s="66"/>
      <c r="J3" s="66"/>
      <c r="K3" s="46"/>
      <c r="L3" s="46"/>
      <c r="M3" s="46"/>
      <c r="N3" s="46"/>
      <c r="O3" s="46"/>
    </row>
    <row r="4" spans="1:15" ht="15.75" thickBot="1" x14ac:dyDescent="0.3"/>
    <row r="5" spans="1:15" ht="15.75" x14ac:dyDescent="0.25">
      <c r="D5" s="25" t="s">
        <v>28</v>
      </c>
      <c r="E5" s="33" t="s">
        <v>18</v>
      </c>
      <c r="F5" s="26"/>
      <c r="G5" s="55" t="s">
        <v>28</v>
      </c>
      <c r="H5" s="28" t="s">
        <v>19</v>
      </c>
    </row>
    <row r="6" spans="1:15" x14ac:dyDescent="0.25">
      <c r="D6" s="2"/>
      <c r="E6" s="21"/>
      <c r="G6" s="7"/>
      <c r="H6" s="57"/>
    </row>
    <row r="7" spans="1:15" x14ac:dyDescent="0.25">
      <c r="D7" s="2" t="s">
        <v>20</v>
      </c>
      <c r="E7" s="34">
        <v>200000</v>
      </c>
      <c r="G7" s="7" t="s">
        <v>38</v>
      </c>
      <c r="H7" s="30"/>
    </row>
    <row r="8" spans="1:15" x14ac:dyDescent="0.25">
      <c r="D8" s="2" t="s">
        <v>37</v>
      </c>
      <c r="E8" s="34"/>
      <c r="G8" s="7" t="s">
        <v>95</v>
      </c>
      <c r="H8" s="30">
        <v>280000</v>
      </c>
    </row>
    <row r="9" spans="1:15" x14ac:dyDescent="0.25">
      <c r="D9" s="2" t="s">
        <v>94</v>
      </c>
      <c r="E9" s="34">
        <v>205000</v>
      </c>
      <c r="G9" s="7" t="s">
        <v>21</v>
      </c>
      <c r="H9" s="30">
        <v>180000</v>
      </c>
    </row>
    <row r="10" spans="1:15" x14ac:dyDescent="0.25">
      <c r="D10" s="2"/>
      <c r="E10" s="34"/>
      <c r="G10" s="7"/>
      <c r="H10" s="30"/>
    </row>
    <row r="11" spans="1:15" x14ac:dyDescent="0.25">
      <c r="D11" s="45" t="s">
        <v>23</v>
      </c>
      <c r="E11" s="48">
        <v>55000</v>
      </c>
      <c r="G11" s="7"/>
      <c r="H11" s="30"/>
    </row>
    <row r="12" spans="1:15" x14ac:dyDescent="0.25">
      <c r="D12" s="2"/>
      <c r="E12" s="17"/>
      <c r="G12" s="7"/>
      <c r="H12" s="29"/>
    </row>
    <row r="13" spans="1:15" ht="15.75" thickBot="1" x14ac:dyDescent="0.3">
      <c r="D13" s="2"/>
      <c r="E13" s="49">
        <f>SUM(E7:E12)</f>
        <v>460000</v>
      </c>
      <c r="G13" s="7"/>
      <c r="H13" s="68">
        <f>SUM(H7:H12)</f>
        <v>460000</v>
      </c>
    </row>
    <row r="14" spans="1:15" ht="16.5" thickTop="1" thickBot="1" x14ac:dyDescent="0.3">
      <c r="D14" s="4"/>
      <c r="E14" s="36"/>
      <c r="F14" s="5"/>
      <c r="G14" s="47"/>
      <c r="H14" s="31"/>
    </row>
    <row r="15" spans="1:15" x14ac:dyDescent="0.25">
      <c r="E15" s="67"/>
      <c r="H15" s="67"/>
    </row>
    <row r="16" spans="1:15" ht="18.75" x14ac:dyDescent="0.3">
      <c r="E16" s="147" t="s">
        <v>121</v>
      </c>
      <c r="F16" s="148"/>
      <c r="G16" s="148"/>
      <c r="H16" s="67"/>
    </row>
    <row r="17" spans="4:13" ht="15.75" thickBot="1" x14ac:dyDescent="0.3">
      <c r="E17" s="67"/>
      <c r="H17" s="67"/>
    </row>
    <row r="18" spans="4:13" ht="15.75" x14ac:dyDescent="0.25">
      <c r="D18" s="25" t="s">
        <v>28</v>
      </c>
      <c r="E18" s="33" t="s">
        <v>18</v>
      </c>
      <c r="F18" s="26"/>
      <c r="G18" s="33" t="s">
        <v>28</v>
      </c>
      <c r="H18" s="27" t="s">
        <v>19</v>
      </c>
    </row>
    <row r="19" spans="4:13" x14ac:dyDescent="0.25">
      <c r="D19" s="2"/>
      <c r="E19" s="17"/>
      <c r="G19" s="21"/>
      <c r="H19" s="9"/>
    </row>
    <row r="20" spans="4:13" x14ac:dyDescent="0.25">
      <c r="D20" s="2" t="s">
        <v>25</v>
      </c>
      <c r="E20" s="34">
        <v>15000</v>
      </c>
      <c r="G20" s="21" t="s">
        <v>24</v>
      </c>
      <c r="H20" s="8">
        <v>55000</v>
      </c>
    </row>
    <row r="21" spans="4:13" ht="15.75" thickBot="1" x14ac:dyDescent="0.3">
      <c r="D21" s="45" t="s">
        <v>27</v>
      </c>
      <c r="E21" s="48">
        <v>60000</v>
      </c>
      <c r="G21" s="21" t="s">
        <v>26</v>
      </c>
      <c r="H21" s="8">
        <v>20000</v>
      </c>
    </row>
    <row r="22" spans="4:13" x14ac:dyDescent="0.25">
      <c r="D22" s="2"/>
      <c r="E22" s="34"/>
      <c r="G22" s="21"/>
      <c r="H22" s="8"/>
      <c r="J22" s="150" t="s">
        <v>88</v>
      </c>
      <c r="K22" s="82"/>
      <c r="L22" s="82"/>
      <c r="M22" s="83"/>
    </row>
    <row r="23" spans="4:13" x14ac:dyDescent="0.25">
      <c r="D23" s="2"/>
      <c r="E23" s="17"/>
      <c r="G23" s="21"/>
      <c r="H23" s="11"/>
      <c r="J23" s="151" t="s">
        <v>89</v>
      </c>
      <c r="K23" s="101"/>
      <c r="L23" s="101"/>
      <c r="M23" s="152"/>
    </row>
    <row r="24" spans="4:13" ht="15.75" thickBot="1" x14ac:dyDescent="0.3">
      <c r="D24" s="2"/>
      <c r="E24" s="35">
        <f>SUM(E20:E23)</f>
        <v>75000</v>
      </c>
      <c r="G24" s="21"/>
      <c r="H24" s="10">
        <f>SUM(H20:H23)</f>
        <v>75000</v>
      </c>
      <c r="J24" s="151" t="s">
        <v>90</v>
      </c>
      <c r="K24" s="101"/>
      <c r="L24" s="101"/>
      <c r="M24" s="152"/>
    </row>
    <row r="25" spans="4:13" ht="16.5" thickTop="1" thickBot="1" x14ac:dyDescent="0.3">
      <c r="D25" s="4"/>
      <c r="E25" s="36"/>
      <c r="F25" s="5"/>
      <c r="G25" s="36"/>
      <c r="H25" s="6"/>
      <c r="J25" s="143" t="s">
        <v>91</v>
      </c>
      <c r="K25" s="144"/>
      <c r="L25" s="144"/>
      <c r="M25" s="145"/>
    </row>
  </sheetData>
  <mergeCells count="7">
    <mergeCell ref="J25:M25"/>
    <mergeCell ref="E3:G3"/>
    <mergeCell ref="E16:G16"/>
    <mergeCell ref="A1:J1"/>
    <mergeCell ref="J22:M22"/>
    <mergeCell ref="J24:M24"/>
    <mergeCell ref="J23:M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E3EC1-87EC-41B5-9099-8F87869FA53E}">
  <dimension ref="A1:J19"/>
  <sheetViews>
    <sheetView workbookViewId="0">
      <selection activeCell="T15" sqref="T15"/>
    </sheetView>
  </sheetViews>
  <sheetFormatPr defaultRowHeight="15" x14ac:dyDescent="0.25"/>
  <cols>
    <col min="4" max="4" width="33.85546875" customWidth="1"/>
    <col min="5" max="5" width="13.7109375" customWidth="1"/>
    <col min="7" max="7" width="22.85546875" customWidth="1"/>
    <col min="8" max="8" width="13.5703125" customWidth="1"/>
  </cols>
  <sheetData>
    <row r="1" spans="1:10" ht="21" x14ac:dyDescent="0.35">
      <c r="A1" s="153" t="s">
        <v>92</v>
      </c>
      <c r="B1" s="153"/>
      <c r="C1" s="153"/>
      <c r="D1" s="153"/>
      <c r="E1" s="153"/>
      <c r="F1" s="153"/>
      <c r="G1" s="153"/>
      <c r="H1" s="153"/>
      <c r="I1" s="153"/>
      <c r="J1" s="153"/>
    </row>
    <row r="2" spans="1:10" ht="15.75" thickBot="1" x14ac:dyDescent="0.3"/>
    <row r="3" spans="1:10" ht="15.75" x14ac:dyDescent="0.25">
      <c r="D3" s="25" t="s">
        <v>29</v>
      </c>
      <c r="E3" s="33" t="s">
        <v>30</v>
      </c>
      <c r="F3" s="26"/>
      <c r="G3" s="33" t="s">
        <v>31</v>
      </c>
      <c r="H3" s="27" t="s">
        <v>30</v>
      </c>
    </row>
    <row r="4" spans="1:10" x14ac:dyDescent="0.25">
      <c r="D4" s="2"/>
      <c r="E4" s="21"/>
      <c r="G4" s="21"/>
      <c r="H4" s="3"/>
    </row>
    <row r="5" spans="1:10" x14ac:dyDescent="0.25">
      <c r="D5" s="52" t="s">
        <v>99</v>
      </c>
      <c r="E5" s="21"/>
      <c r="G5" s="51" t="s">
        <v>97</v>
      </c>
      <c r="H5" s="8"/>
    </row>
    <row r="6" spans="1:10" x14ac:dyDescent="0.25">
      <c r="D6" s="2" t="s">
        <v>39</v>
      </c>
      <c r="E6" s="50"/>
      <c r="G6" s="21" t="s">
        <v>96</v>
      </c>
      <c r="H6" s="8">
        <v>60000</v>
      </c>
    </row>
    <row r="7" spans="1:10" x14ac:dyDescent="0.25">
      <c r="D7" s="2" t="s">
        <v>40</v>
      </c>
      <c r="E7" s="34"/>
      <c r="G7" s="21" t="s">
        <v>34</v>
      </c>
      <c r="H7" s="8">
        <v>80000</v>
      </c>
    </row>
    <row r="8" spans="1:10" x14ac:dyDescent="0.25">
      <c r="D8" s="2" t="s">
        <v>93</v>
      </c>
      <c r="E8" s="34">
        <v>535000</v>
      </c>
      <c r="G8" s="21" t="s">
        <v>42</v>
      </c>
      <c r="H8" s="8">
        <v>180000</v>
      </c>
    </row>
    <row r="9" spans="1:10" x14ac:dyDescent="0.25">
      <c r="D9" s="2"/>
      <c r="E9" s="34"/>
      <c r="G9" s="21" t="s">
        <v>8</v>
      </c>
      <c r="H9" s="8">
        <v>75000</v>
      </c>
    </row>
    <row r="10" spans="1:10" x14ac:dyDescent="0.25">
      <c r="D10" s="52" t="s">
        <v>100</v>
      </c>
      <c r="E10" s="34"/>
      <c r="G10" s="21"/>
      <c r="H10" s="8"/>
    </row>
    <row r="11" spans="1:10" x14ac:dyDescent="0.25">
      <c r="D11" s="2" t="s">
        <v>9</v>
      </c>
      <c r="E11" s="34">
        <v>100000</v>
      </c>
      <c r="G11" s="51" t="s">
        <v>98</v>
      </c>
      <c r="H11" s="8"/>
    </row>
    <row r="12" spans="1:10" x14ac:dyDescent="0.25">
      <c r="D12" s="2" t="s">
        <v>36</v>
      </c>
      <c r="E12" s="34">
        <v>60000</v>
      </c>
      <c r="G12" s="21" t="s">
        <v>33</v>
      </c>
      <c r="H12" s="8">
        <v>350000</v>
      </c>
    </row>
    <row r="13" spans="1:10" x14ac:dyDescent="0.25">
      <c r="D13" s="2" t="s">
        <v>41</v>
      </c>
      <c r="E13" s="34">
        <v>50000</v>
      </c>
      <c r="G13" s="21" t="s">
        <v>16</v>
      </c>
      <c r="H13" s="8">
        <v>200000</v>
      </c>
    </row>
    <row r="14" spans="1:10" x14ac:dyDescent="0.25">
      <c r="D14" s="2"/>
      <c r="E14" s="34"/>
      <c r="G14" s="21"/>
      <c r="H14" s="8"/>
    </row>
    <row r="15" spans="1:10" x14ac:dyDescent="0.25">
      <c r="D15" s="52" t="s">
        <v>101</v>
      </c>
      <c r="E15" s="21"/>
      <c r="G15" s="21"/>
      <c r="H15" s="9"/>
    </row>
    <row r="16" spans="1:10" x14ac:dyDescent="0.25">
      <c r="D16" s="2" t="s">
        <v>32</v>
      </c>
      <c r="E16" s="34">
        <v>200000</v>
      </c>
      <c r="G16" s="21"/>
      <c r="H16" s="9"/>
    </row>
    <row r="17" spans="4:8" x14ac:dyDescent="0.25">
      <c r="D17" s="2"/>
      <c r="E17" s="34"/>
      <c r="G17" s="21"/>
      <c r="H17" s="3"/>
    </row>
    <row r="18" spans="4:8" ht="15.75" thickBot="1" x14ac:dyDescent="0.3">
      <c r="D18" s="2"/>
      <c r="E18" s="64">
        <f>SUM(E7:E17)</f>
        <v>945000</v>
      </c>
      <c r="F18" s="1"/>
      <c r="G18" s="17"/>
      <c r="H18" s="65">
        <f>SUM(H5:H17)</f>
        <v>945000</v>
      </c>
    </row>
    <row r="19" spans="4:8" ht="16.5" thickTop="1" thickBot="1" x14ac:dyDescent="0.3">
      <c r="D19" s="4"/>
      <c r="E19" s="36"/>
      <c r="F19" s="5"/>
      <c r="G19" s="36"/>
      <c r="H19" s="6"/>
    </row>
  </sheetData>
  <mergeCells count="1">
    <mergeCell ref="A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B6620-6DB1-4A43-9C48-4488059B7055}">
  <dimension ref="A1:K32"/>
  <sheetViews>
    <sheetView zoomScaleNormal="100" workbookViewId="0">
      <selection activeCell="W19" sqref="W19"/>
    </sheetView>
  </sheetViews>
  <sheetFormatPr defaultRowHeight="15" x14ac:dyDescent="0.25"/>
  <cols>
    <col min="1" max="1" width="3.42578125" customWidth="1"/>
    <col min="2" max="2" width="3.5703125" customWidth="1"/>
    <col min="3" max="3" width="3.42578125" customWidth="1"/>
    <col min="4" max="4" width="2.85546875" customWidth="1"/>
    <col min="5" max="5" width="22.7109375" customWidth="1"/>
    <col min="6" max="6" width="16.5703125" customWidth="1"/>
    <col min="7" max="7" width="14.7109375" customWidth="1"/>
    <col min="8" max="8" width="14.28515625" customWidth="1"/>
    <col min="10" max="10" width="11" customWidth="1"/>
    <col min="11" max="11" width="10.28515625" customWidth="1"/>
  </cols>
  <sheetData>
    <row r="1" spans="1:11" ht="21" x14ac:dyDescent="0.35">
      <c r="A1" s="153" t="s">
        <v>105</v>
      </c>
      <c r="B1" s="153"/>
      <c r="C1" s="153"/>
      <c r="D1" s="153"/>
      <c r="E1" s="153"/>
      <c r="F1" s="153"/>
      <c r="G1" s="153"/>
      <c r="H1" s="153"/>
      <c r="I1" s="153"/>
      <c r="J1" s="153"/>
    </row>
    <row r="2" spans="1:11" ht="15.75" thickBot="1" x14ac:dyDescent="0.3"/>
    <row r="3" spans="1:11" ht="15.75" x14ac:dyDescent="0.25">
      <c r="E3" s="25" t="s">
        <v>43</v>
      </c>
      <c r="F3" s="33" t="s">
        <v>44</v>
      </c>
      <c r="G3" s="26" t="s">
        <v>45</v>
      </c>
      <c r="H3" s="33" t="s">
        <v>46</v>
      </c>
      <c r="I3" s="163" t="s">
        <v>102</v>
      </c>
      <c r="J3" s="163"/>
      <c r="K3" s="164"/>
    </row>
    <row r="4" spans="1:11" x14ac:dyDescent="0.25">
      <c r="E4" s="13" t="s">
        <v>47</v>
      </c>
      <c r="F4" s="17">
        <v>1.88</v>
      </c>
      <c r="G4" s="1" t="s">
        <v>48</v>
      </c>
      <c r="H4" s="60" t="s">
        <v>60</v>
      </c>
      <c r="I4" s="71" t="s">
        <v>106</v>
      </c>
      <c r="J4" s="71"/>
      <c r="K4" s="88"/>
    </row>
    <row r="5" spans="1:11" x14ac:dyDescent="0.25">
      <c r="E5" s="13" t="s">
        <v>49</v>
      </c>
      <c r="F5" s="17">
        <v>0.64</v>
      </c>
      <c r="G5" s="1" t="s">
        <v>50</v>
      </c>
      <c r="H5" s="61" t="s">
        <v>59</v>
      </c>
      <c r="I5" s="71" t="s">
        <v>107</v>
      </c>
      <c r="J5" s="71"/>
      <c r="K5" s="88"/>
    </row>
    <row r="6" spans="1:11" x14ac:dyDescent="0.25">
      <c r="E6" s="13" t="s">
        <v>51</v>
      </c>
      <c r="F6" s="18">
        <v>0.21429999999999999</v>
      </c>
      <c r="G6" s="1" t="s">
        <v>61</v>
      </c>
      <c r="H6" s="62" t="s">
        <v>58</v>
      </c>
      <c r="I6" s="71" t="s">
        <v>108</v>
      </c>
      <c r="J6" s="71"/>
      <c r="K6" s="88"/>
    </row>
    <row r="7" spans="1:11" x14ac:dyDescent="0.25">
      <c r="E7" s="13" t="s">
        <v>53</v>
      </c>
      <c r="F7" s="19">
        <v>0.43390000000000001</v>
      </c>
      <c r="G7" s="1" t="s">
        <v>56</v>
      </c>
      <c r="H7" s="62" t="s">
        <v>58</v>
      </c>
      <c r="I7" s="71" t="s">
        <v>127</v>
      </c>
      <c r="J7" s="71"/>
      <c r="K7" s="88"/>
    </row>
    <row r="8" spans="1:11" x14ac:dyDescent="0.25">
      <c r="E8" s="13" t="s">
        <v>54</v>
      </c>
      <c r="F8" s="19">
        <v>0.77</v>
      </c>
      <c r="G8" s="1" t="s">
        <v>56</v>
      </c>
      <c r="H8" s="60" t="s">
        <v>60</v>
      </c>
      <c r="I8" s="71" t="s">
        <v>128</v>
      </c>
      <c r="J8" s="71"/>
      <c r="K8" s="88"/>
    </row>
    <row r="9" spans="1:11" x14ac:dyDescent="0.25">
      <c r="E9" s="13" t="s">
        <v>55</v>
      </c>
      <c r="F9" s="17">
        <v>2.25</v>
      </c>
      <c r="G9" s="1" t="s">
        <v>62</v>
      </c>
      <c r="H9" s="61" t="s">
        <v>59</v>
      </c>
      <c r="I9" s="71" t="s">
        <v>109</v>
      </c>
      <c r="J9" s="71"/>
      <c r="K9" s="88"/>
    </row>
    <row r="10" spans="1:11" ht="15.75" thickBot="1" x14ac:dyDescent="0.3">
      <c r="E10" s="53" t="s">
        <v>57</v>
      </c>
      <c r="F10" s="56">
        <v>0.1</v>
      </c>
      <c r="G10" s="54" t="s">
        <v>52</v>
      </c>
      <c r="H10" s="63" t="s">
        <v>60</v>
      </c>
      <c r="I10" s="90" t="s">
        <v>129</v>
      </c>
      <c r="J10" s="90"/>
      <c r="K10" s="91"/>
    </row>
    <row r="11" spans="1:11" x14ac:dyDescent="0.25">
      <c r="E11" s="1"/>
      <c r="F11" s="1"/>
      <c r="G11" s="1"/>
      <c r="H11" s="1"/>
    </row>
    <row r="12" spans="1:11" x14ac:dyDescent="0.25">
      <c r="E12" s="1"/>
      <c r="F12" s="1"/>
      <c r="G12" s="1"/>
      <c r="H12" s="1"/>
    </row>
    <row r="13" spans="1:11" x14ac:dyDescent="0.25">
      <c r="E13" s="1"/>
      <c r="F13" s="1"/>
      <c r="G13" s="1"/>
      <c r="H13" s="1"/>
    </row>
    <row r="14" spans="1:11" x14ac:dyDescent="0.25">
      <c r="E14" s="1"/>
      <c r="F14" s="1"/>
      <c r="G14" s="1"/>
      <c r="H14" s="1"/>
    </row>
    <row r="18" spans="1:10" ht="21" x14ac:dyDescent="0.35">
      <c r="A18" s="165" t="s">
        <v>104</v>
      </c>
      <c r="B18" s="166"/>
      <c r="C18" s="166"/>
      <c r="D18" s="166"/>
      <c r="E18" s="166"/>
      <c r="F18" s="166"/>
      <c r="G18" s="166"/>
      <c r="H18" s="166"/>
      <c r="I18" s="166"/>
      <c r="J18" s="166"/>
    </row>
    <row r="19" spans="1:10" ht="15.75" thickBot="1" x14ac:dyDescent="0.3"/>
    <row r="20" spans="1:10" ht="15.75" x14ac:dyDescent="0.25">
      <c r="E20" s="25" t="s">
        <v>64</v>
      </c>
      <c r="F20" s="28" t="s">
        <v>65</v>
      </c>
    </row>
    <row r="21" spans="1:10" ht="15.75" thickBot="1" x14ac:dyDescent="0.3">
      <c r="E21" s="13" t="s">
        <v>66</v>
      </c>
      <c r="F21" s="29" t="s">
        <v>78</v>
      </c>
    </row>
    <row r="22" spans="1:10" ht="18.75" x14ac:dyDescent="0.3">
      <c r="E22" s="13" t="s">
        <v>77</v>
      </c>
      <c r="F22" s="29" t="s">
        <v>79</v>
      </c>
      <c r="H22" s="154" t="s">
        <v>110</v>
      </c>
      <c r="I22" s="155"/>
      <c r="J22" s="156"/>
    </row>
    <row r="23" spans="1:10" ht="21" x14ac:dyDescent="0.35">
      <c r="E23" s="13" t="s">
        <v>67</v>
      </c>
      <c r="F23" s="58" t="s">
        <v>80</v>
      </c>
      <c r="H23" s="157" t="s">
        <v>81</v>
      </c>
      <c r="I23" s="158"/>
      <c r="J23" s="159"/>
    </row>
    <row r="24" spans="1:10" ht="21.75" thickBot="1" x14ac:dyDescent="0.4">
      <c r="E24" s="13" t="s">
        <v>68</v>
      </c>
      <c r="F24" s="29" t="s">
        <v>79</v>
      </c>
      <c r="H24" s="160" t="s">
        <v>111</v>
      </c>
      <c r="I24" s="161"/>
      <c r="J24" s="162"/>
    </row>
    <row r="25" spans="1:10" ht="15.75" thickBot="1" x14ac:dyDescent="0.3">
      <c r="E25" s="14" t="s">
        <v>69</v>
      </c>
      <c r="F25" s="59" t="s">
        <v>81</v>
      </c>
    </row>
    <row r="26" spans="1:10" x14ac:dyDescent="0.25">
      <c r="E26" s="1"/>
      <c r="F26" s="1"/>
    </row>
    <row r="27" spans="1:10" x14ac:dyDescent="0.25">
      <c r="E27" s="1"/>
      <c r="F27" s="1"/>
    </row>
    <row r="28" spans="1:10" x14ac:dyDescent="0.25">
      <c r="E28" s="1"/>
      <c r="F28" s="1"/>
    </row>
    <row r="29" spans="1:10" x14ac:dyDescent="0.25">
      <c r="E29" s="1"/>
      <c r="F29" s="1"/>
    </row>
    <row r="30" spans="1:10" x14ac:dyDescent="0.25">
      <c r="E30" s="1"/>
      <c r="F30" s="1"/>
    </row>
    <row r="31" spans="1:10" x14ac:dyDescent="0.25">
      <c r="E31" s="1"/>
      <c r="F31" s="1"/>
    </row>
    <row r="32" spans="1:10" x14ac:dyDescent="0.25">
      <c r="E32" s="1"/>
      <c r="F32" s="1"/>
    </row>
  </sheetData>
  <mergeCells count="13">
    <mergeCell ref="I8:K8"/>
    <mergeCell ref="A1:J1"/>
    <mergeCell ref="A18:J18"/>
    <mergeCell ref="I3:K3"/>
    <mergeCell ref="I4:K4"/>
    <mergeCell ref="I5:K5"/>
    <mergeCell ref="I6:K6"/>
    <mergeCell ref="I7:K7"/>
    <mergeCell ref="I9:K9"/>
    <mergeCell ref="I10:K10"/>
    <mergeCell ref="H22:J22"/>
    <mergeCell ref="H23:J23"/>
    <mergeCell ref="H24:J24"/>
  </mergeCells>
  <conditionalFormatting sqref="F25">
    <cfRule type="cellIs" dxfId="4" priority="2" operator="greaterThan">
      <formula>60</formula>
    </cfRule>
    <cfRule type="cellIs" dxfId="3" priority="3" operator="greaterThan">
      <formula>80</formula>
    </cfRule>
  </conditionalFormatting>
  <conditionalFormatting sqref="H7">
    <cfRule type="cellIs" dxfId="2" priority="8" operator="equal">
      <formula>"Good"</formula>
    </cfRule>
  </conditionalFormatting>
  <conditionalFormatting sqref="H10">
    <cfRule type="cellIs" dxfId="1" priority="7" operator="equal">
      <formula>"Poor"</formula>
    </cfRule>
    <cfRule type="cellIs" dxfId="0" priority="10" operator="equal">
      <formula>"Excellent"</formula>
    </cfRule>
  </conditionalFormatting>
  <pageMargins left="0.7" right="0.7" top="0.75" bottom="0.75" header="0.3" footer="0.3"/>
  <pageSetup orientation="portrait" r:id="rId1"/>
  <ignoredErrors>
    <ignoredError sqref="F23" twoDigitTextYear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3DBE5-8270-448B-A746-75F17B4748E0}">
  <sheetPr>
    <pageSetUpPr autoPageBreaks="0"/>
  </sheetPr>
  <dimension ref="B1:BZ127"/>
  <sheetViews>
    <sheetView showGridLines="0" tabSelected="1" topLeftCell="A22" zoomScale="98" zoomScaleNormal="98" workbookViewId="0">
      <selection activeCell="X16" sqref="X16"/>
    </sheetView>
  </sheetViews>
  <sheetFormatPr defaultRowHeight="15" x14ac:dyDescent="0.25"/>
  <cols>
    <col min="1" max="2" width="9.140625" customWidth="1"/>
    <col min="3" max="3" width="11.140625" customWidth="1"/>
    <col min="4" max="4" width="11.85546875" customWidth="1"/>
    <col min="5" max="5" width="10.85546875" customWidth="1"/>
    <col min="6" max="6" width="12.7109375" customWidth="1"/>
    <col min="14" max="14" width="10.85546875" customWidth="1"/>
    <col min="15" max="15" width="11.5703125" customWidth="1"/>
    <col min="16" max="16" width="8.42578125" customWidth="1"/>
    <col min="17" max="17" width="7.28515625" customWidth="1"/>
  </cols>
  <sheetData>
    <row r="1" spans="2:21" ht="15.75" thickBot="1" x14ac:dyDescent="0.3">
      <c r="I1" s="71"/>
      <c r="J1" s="71"/>
    </row>
    <row r="2" spans="2:21" ht="26.25" x14ac:dyDescent="0.4">
      <c r="B2" s="136" t="s">
        <v>130</v>
      </c>
      <c r="C2" s="136"/>
      <c r="D2" s="136"/>
      <c r="E2" s="136"/>
      <c r="F2" s="136"/>
      <c r="G2" s="136"/>
      <c r="H2" s="136"/>
      <c r="I2" s="136"/>
      <c r="J2" s="136"/>
      <c r="R2" s="81" t="s">
        <v>122</v>
      </c>
      <c r="S2" s="82"/>
      <c r="T2" s="82"/>
      <c r="U2" s="83"/>
    </row>
    <row r="3" spans="2:21" ht="14.25" customHeight="1" thickBot="1" x14ac:dyDescent="0.3">
      <c r="R3" s="2"/>
      <c r="U3" s="3"/>
    </row>
    <row r="4" spans="2:21" ht="17.25" customHeight="1" x14ac:dyDescent="0.25">
      <c r="B4" s="137" t="s">
        <v>71</v>
      </c>
      <c r="C4" s="138"/>
      <c r="D4" s="139"/>
      <c r="F4" s="137" t="s">
        <v>72</v>
      </c>
      <c r="G4" s="140"/>
      <c r="H4" s="141"/>
      <c r="J4" s="137" t="s">
        <v>73</v>
      </c>
      <c r="K4" s="138"/>
      <c r="L4" s="139"/>
      <c r="M4" s="12"/>
      <c r="N4" s="137" t="s">
        <v>74</v>
      </c>
      <c r="O4" s="138"/>
      <c r="P4" s="139"/>
      <c r="R4" s="84" t="s">
        <v>123</v>
      </c>
      <c r="S4" s="85"/>
      <c r="T4" s="85"/>
      <c r="U4" s="86"/>
    </row>
    <row r="5" spans="2:21" ht="15" customHeight="1" x14ac:dyDescent="0.5">
      <c r="B5" s="129">
        <f>'Trading and Profit and Loss '!H8</f>
        <v>280000</v>
      </c>
      <c r="C5" s="130"/>
      <c r="D5" s="131"/>
      <c r="F5" s="129">
        <f>'Trading and Profit and Loss '!E21</f>
        <v>60000</v>
      </c>
      <c r="G5" s="130"/>
      <c r="H5" s="131"/>
      <c r="I5" s="15"/>
      <c r="J5" s="135">
        <f>'Ratio Analysis'!F4</f>
        <v>1.88</v>
      </c>
      <c r="K5" s="130"/>
      <c r="L5" s="131"/>
      <c r="M5" s="15"/>
      <c r="N5" s="135" t="str">
        <f>'Ratio Analysis'!F25</f>
        <v>71/100</v>
      </c>
      <c r="O5" s="130"/>
      <c r="P5" s="131"/>
      <c r="R5" s="84" t="s">
        <v>124</v>
      </c>
      <c r="S5" s="85"/>
      <c r="T5" s="85"/>
      <c r="U5" s="86"/>
    </row>
    <row r="6" spans="2:21" ht="15.75" customHeight="1" thickBot="1" x14ac:dyDescent="0.55000000000000004">
      <c r="B6" s="132"/>
      <c r="C6" s="133"/>
      <c r="D6" s="134"/>
      <c r="F6" s="132"/>
      <c r="G6" s="133"/>
      <c r="H6" s="134"/>
      <c r="I6" s="15"/>
      <c r="J6" s="132"/>
      <c r="K6" s="133"/>
      <c r="L6" s="134"/>
      <c r="M6" s="15"/>
      <c r="N6" s="132"/>
      <c r="O6" s="133"/>
      <c r="P6" s="134"/>
      <c r="R6" s="87" t="s">
        <v>125</v>
      </c>
      <c r="S6" s="71"/>
      <c r="T6" s="71"/>
      <c r="U6" s="88"/>
    </row>
    <row r="7" spans="2:21" ht="15.75" thickBot="1" x14ac:dyDescent="0.3">
      <c r="R7" s="89" t="s">
        <v>126</v>
      </c>
      <c r="S7" s="90"/>
      <c r="T7" s="90"/>
      <c r="U7" s="91"/>
    </row>
    <row r="8" spans="2:21" x14ac:dyDescent="0.25">
      <c r="R8" s="71"/>
      <c r="S8" s="71"/>
      <c r="T8" s="71"/>
      <c r="U8" s="71"/>
    </row>
    <row r="9" spans="2:21" x14ac:dyDescent="0.25">
      <c r="F9" s="16"/>
    </row>
    <row r="10" spans="2:21" x14ac:dyDescent="0.25">
      <c r="R10" s="71"/>
      <c r="S10" s="71"/>
      <c r="T10" s="71"/>
      <c r="U10" s="71"/>
    </row>
    <row r="26" spans="2:16" ht="19.5" thickBot="1" x14ac:dyDescent="0.35">
      <c r="B26" s="70"/>
      <c r="C26" s="127" t="s">
        <v>75</v>
      </c>
      <c r="D26" s="127"/>
      <c r="E26" s="127"/>
      <c r="M26" s="127" t="s">
        <v>63</v>
      </c>
      <c r="N26" s="127"/>
      <c r="O26" s="127"/>
      <c r="P26" s="127"/>
    </row>
    <row r="27" spans="2:16" ht="15.75" thickBot="1" x14ac:dyDescent="0.3">
      <c r="G27" s="114" t="s">
        <v>82</v>
      </c>
      <c r="H27" s="115"/>
      <c r="I27" s="115"/>
      <c r="J27" s="115"/>
      <c r="K27" s="116"/>
    </row>
    <row r="28" spans="2:16" ht="15.75" x14ac:dyDescent="0.25">
      <c r="C28" s="125" t="s">
        <v>43</v>
      </c>
      <c r="D28" s="128"/>
      <c r="E28" s="32" t="s">
        <v>44</v>
      </c>
      <c r="N28" s="125" t="s">
        <v>64</v>
      </c>
      <c r="O28" s="126"/>
      <c r="P28" s="32" t="s">
        <v>76</v>
      </c>
    </row>
    <row r="29" spans="2:16" x14ac:dyDescent="0.25">
      <c r="C29" s="117" t="s">
        <v>47</v>
      </c>
      <c r="D29" s="118"/>
      <c r="E29" s="17">
        <v>1.88</v>
      </c>
      <c r="N29" s="123" t="s">
        <v>66</v>
      </c>
      <c r="O29" s="124"/>
      <c r="P29" s="19">
        <v>15</v>
      </c>
    </row>
    <row r="30" spans="2:16" x14ac:dyDescent="0.25">
      <c r="C30" s="117" t="s">
        <v>49</v>
      </c>
      <c r="D30" s="118"/>
      <c r="E30" s="17">
        <v>0.64</v>
      </c>
      <c r="N30" s="117" t="s">
        <v>77</v>
      </c>
      <c r="O30" s="118"/>
      <c r="P30" s="19">
        <v>23</v>
      </c>
    </row>
    <row r="31" spans="2:16" x14ac:dyDescent="0.25">
      <c r="C31" s="117" t="s">
        <v>51</v>
      </c>
      <c r="D31" s="118"/>
      <c r="E31" s="18">
        <v>0.21429999999999999</v>
      </c>
      <c r="N31" s="117" t="s">
        <v>68</v>
      </c>
      <c r="O31" s="118"/>
      <c r="P31" s="19">
        <v>23</v>
      </c>
    </row>
    <row r="32" spans="2:16" x14ac:dyDescent="0.25">
      <c r="C32" s="117" t="s">
        <v>53</v>
      </c>
      <c r="D32" s="118"/>
      <c r="E32" s="19">
        <v>0.43390000000000001</v>
      </c>
      <c r="N32" s="119" t="s">
        <v>67</v>
      </c>
      <c r="O32" s="120"/>
      <c r="P32" s="19">
        <v>10</v>
      </c>
    </row>
    <row r="33" spans="3:17" x14ac:dyDescent="0.25">
      <c r="C33" s="117" t="s">
        <v>54</v>
      </c>
      <c r="D33" s="118"/>
      <c r="E33" s="19">
        <v>0.77</v>
      </c>
      <c r="N33" s="121" t="s">
        <v>69</v>
      </c>
      <c r="O33" s="122"/>
      <c r="P33" s="69">
        <f>SUM(P29:P32)</f>
        <v>71</v>
      </c>
    </row>
    <row r="34" spans="3:17" x14ac:dyDescent="0.25">
      <c r="C34" s="117" t="s">
        <v>55</v>
      </c>
      <c r="D34" s="118"/>
      <c r="E34" s="17">
        <v>2.25</v>
      </c>
    </row>
    <row r="35" spans="3:17" x14ac:dyDescent="0.25">
      <c r="C35" s="119" t="s">
        <v>57</v>
      </c>
      <c r="D35" s="120"/>
      <c r="E35" s="20">
        <v>0.1</v>
      </c>
    </row>
    <row r="36" spans="3:17" ht="15.75" thickBot="1" x14ac:dyDescent="0.3"/>
    <row r="37" spans="3:17" ht="15.75" x14ac:dyDescent="0.25">
      <c r="C37" s="102" t="s">
        <v>83</v>
      </c>
      <c r="D37" s="103"/>
      <c r="E37" s="103"/>
      <c r="F37" s="104"/>
      <c r="H37" s="108" t="s">
        <v>84</v>
      </c>
      <c r="I37" s="109"/>
      <c r="J37" s="109"/>
      <c r="K37" s="110"/>
      <c r="M37" s="92" t="s">
        <v>103</v>
      </c>
      <c r="N37" s="93"/>
      <c r="O37" s="93"/>
      <c r="P37" s="93"/>
      <c r="Q37" s="94"/>
    </row>
    <row r="38" spans="3:17" x14ac:dyDescent="0.25">
      <c r="C38" s="72" t="s">
        <v>112</v>
      </c>
      <c r="D38" s="73"/>
      <c r="E38" s="73"/>
      <c r="F38" s="74"/>
      <c r="H38" s="75" t="s">
        <v>115</v>
      </c>
      <c r="I38" s="76"/>
      <c r="J38" s="76"/>
      <c r="K38" s="77"/>
      <c r="M38" s="95" t="s">
        <v>116</v>
      </c>
      <c r="N38" s="96"/>
      <c r="O38" s="96"/>
      <c r="P38" s="96"/>
      <c r="Q38" s="97"/>
    </row>
    <row r="39" spans="3:17" x14ac:dyDescent="0.25">
      <c r="C39" s="72" t="s">
        <v>114</v>
      </c>
      <c r="D39" s="73"/>
      <c r="E39" s="73"/>
      <c r="F39" s="74"/>
      <c r="H39" s="78"/>
      <c r="I39" s="79"/>
      <c r="J39" s="79"/>
      <c r="K39" s="80"/>
      <c r="M39" s="95" t="s">
        <v>117</v>
      </c>
      <c r="N39" s="96"/>
      <c r="O39" s="96"/>
      <c r="P39" s="96"/>
      <c r="Q39" s="97"/>
    </row>
    <row r="40" spans="3:17" x14ac:dyDescent="0.25">
      <c r="C40" s="105" t="s">
        <v>113</v>
      </c>
      <c r="D40" s="106"/>
      <c r="E40" s="106"/>
      <c r="F40" s="107"/>
      <c r="H40" s="111" t="s">
        <v>85</v>
      </c>
      <c r="I40" s="112"/>
      <c r="J40" s="112"/>
      <c r="K40" s="113"/>
      <c r="M40" s="95" t="s">
        <v>118</v>
      </c>
      <c r="N40" s="96"/>
      <c r="O40" s="96"/>
      <c r="P40" s="96"/>
      <c r="Q40" s="97"/>
    </row>
    <row r="41" spans="3:17" ht="15.75" thickBot="1" x14ac:dyDescent="0.3">
      <c r="C41" s="22"/>
      <c r="D41" s="23"/>
      <c r="E41" s="22"/>
      <c r="F41" s="22"/>
      <c r="M41" s="98" t="s">
        <v>119</v>
      </c>
      <c r="N41" s="99"/>
      <c r="O41" s="99"/>
      <c r="P41" s="99"/>
      <c r="Q41" s="100"/>
    </row>
    <row r="48" spans="3:17" x14ac:dyDescent="0.25">
      <c r="C48" s="101"/>
      <c r="D48" s="101"/>
      <c r="E48" s="101"/>
      <c r="F48" s="101"/>
      <c r="G48" s="101"/>
    </row>
    <row r="95" spans="38:38" x14ac:dyDescent="0.25">
      <c r="AL95" t="s">
        <v>70</v>
      </c>
    </row>
    <row r="127" spans="78:78" x14ac:dyDescent="0.25">
      <c r="BZ127" t="s">
        <v>70</v>
      </c>
    </row>
  </sheetData>
  <mergeCells count="47">
    <mergeCell ref="B5:D6"/>
    <mergeCell ref="F5:H6"/>
    <mergeCell ref="J5:L6"/>
    <mergeCell ref="N5:P6"/>
    <mergeCell ref="B2:J2"/>
    <mergeCell ref="B4:D4"/>
    <mergeCell ref="F4:H4"/>
    <mergeCell ref="J4:L4"/>
    <mergeCell ref="N4:P4"/>
    <mergeCell ref="C35:D35"/>
    <mergeCell ref="N29:O29"/>
    <mergeCell ref="N28:O28"/>
    <mergeCell ref="M26:P26"/>
    <mergeCell ref="C26:E26"/>
    <mergeCell ref="C31:D31"/>
    <mergeCell ref="C28:D28"/>
    <mergeCell ref="C29:D29"/>
    <mergeCell ref="C30:D30"/>
    <mergeCell ref="N32:O32"/>
    <mergeCell ref="N33:O33"/>
    <mergeCell ref="C32:D32"/>
    <mergeCell ref="C33:D33"/>
    <mergeCell ref="C34:D34"/>
    <mergeCell ref="M40:Q40"/>
    <mergeCell ref="M41:Q41"/>
    <mergeCell ref="C48:G48"/>
    <mergeCell ref="C37:F37"/>
    <mergeCell ref="C38:F38"/>
    <mergeCell ref="C40:F40"/>
    <mergeCell ref="H37:K37"/>
    <mergeCell ref="H40:K40"/>
    <mergeCell ref="I1:J1"/>
    <mergeCell ref="C39:F39"/>
    <mergeCell ref="H38:K39"/>
    <mergeCell ref="R2:U2"/>
    <mergeCell ref="R4:U4"/>
    <mergeCell ref="R6:U6"/>
    <mergeCell ref="R8:U8"/>
    <mergeCell ref="R10:U10"/>
    <mergeCell ref="R5:U5"/>
    <mergeCell ref="R7:U7"/>
    <mergeCell ref="M37:Q37"/>
    <mergeCell ref="M38:Q38"/>
    <mergeCell ref="M39:Q39"/>
    <mergeCell ref="G27:K27"/>
    <mergeCell ref="N30:O30"/>
    <mergeCell ref="N31:O3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Trial Balance</vt:lpstr>
      <vt:lpstr>Trading and Profit and Loss </vt:lpstr>
      <vt:lpstr>Balance Sheet</vt:lpstr>
      <vt:lpstr>Ratio 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Aanyaa Agrawal</dc:creator>
  <cp:lastModifiedBy>Aanyaa Agrawal</cp:lastModifiedBy>
  <dcterms:created xsi:type="dcterms:W3CDTF">2026-06-22T00:11:46Z</dcterms:created>
  <dcterms:modified xsi:type="dcterms:W3CDTF">2026-06-26T15:31:18Z</dcterms:modified>
</cp:coreProperties>
</file>